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tioffice365-my.sharepoint.com/personal/guillermo_perez_castro-vti-se/Documents/Undervisning/TNK119/Lab 2/Vissim_lab_2_uncalibrated/"/>
    </mc:Choice>
  </mc:AlternateContent>
  <xr:revisionPtr revIDLastSave="536" documentId="8_{93417047-27B8-4ADD-9A2D-2BF8857A8ED5}" xr6:coauthVersionLast="47" xr6:coauthVersionMax="47" xr10:uidLastSave="{DF9CDB02-B61D-48BA-AF1B-E529930A6B39}"/>
  <bookViews>
    <workbookView xWindow="-120" yWindow="-120" windowWidth="29040" windowHeight="15720" xr2:uid="{26E709A8-119E-40FD-84A0-B3065837B0C5}"/>
  </bookViews>
  <sheets>
    <sheet name="Calibr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6" i="1" l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B46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B45" i="1"/>
  <c r="Q44" i="1"/>
  <c r="R44" i="1"/>
  <c r="S44" i="1"/>
  <c r="T44" i="1"/>
  <c r="U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B44" i="1"/>
  <c r="K40" i="1"/>
  <c r="L40" i="1"/>
  <c r="M40" i="1"/>
  <c r="N40" i="1"/>
  <c r="O40" i="1"/>
  <c r="P40" i="1"/>
  <c r="Q40" i="1"/>
  <c r="R40" i="1"/>
  <c r="S40" i="1"/>
  <c r="T40" i="1"/>
  <c r="U40" i="1"/>
  <c r="C40" i="1"/>
  <c r="D40" i="1"/>
  <c r="E40" i="1"/>
  <c r="F40" i="1"/>
  <c r="G40" i="1"/>
  <c r="H40" i="1"/>
  <c r="I40" i="1"/>
  <c r="J40" i="1"/>
  <c r="B40" i="1"/>
  <c r="C36" i="1"/>
  <c r="D36" i="1"/>
  <c r="E36" i="1"/>
  <c r="F36" i="1"/>
  <c r="G36" i="1"/>
  <c r="H36" i="1"/>
  <c r="I36" i="1"/>
  <c r="J36" i="1"/>
  <c r="K36" i="1"/>
  <c r="K39" i="1" s="1"/>
  <c r="L36" i="1"/>
  <c r="L39" i="1" s="1"/>
  <c r="M36" i="1"/>
  <c r="M38" i="1" s="1"/>
  <c r="N36" i="1"/>
  <c r="N38" i="1" s="1"/>
  <c r="O36" i="1"/>
  <c r="P36" i="1"/>
  <c r="Q36" i="1"/>
  <c r="R36" i="1"/>
  <c r="S36" i="1"/>
  <c r="T36" i="1"/>
  <c r="U36" i="1"/>
  <c r="C37" i="1"/>
  <c r="C38" i="1" s="1"/>
  <c r="D37" i="1"/>
  <c r="D38" i="1" s="1"/>
  <c r="E37" i="1"/>
  <c r="E38" i="1" s="1"/>
  <c r="F37" i="1"/>
  <c r="F39" i="1" s="1"/>
  <c r="G37" i="1"/>
  <c r="G39" i="1" s="1"/>
  <c r="H37" i="1"/>
  <c r="I37" i="1"/>
  <c r="J37" i="1"/>
  <c r="K37" i="1"/>
  <c r="L37" i="1"/>
  <c r="M37" i="1"/>
  <c r="N37" i="1"/>
  <c r="O37" i="1"/>
  <c r="P37" i="1"/>
  <c r="P38" i="1" s="1"/>
  <c r="Q37" i="1"/>
  <c r="Q38" i="1" s="1"/>
  <c r="R37" i="1"/>
  <c r="R39" i="1" s="1"/>
  <c r="S37" i="1"/>
  <c r="S39" i="1" s="1"/>
  <c r="T37" i="1"/>
  <c r="U37" i="1"/>
  <c r="H38" i="1"/>
  <c r="I38" i="1"/>
  <c r="J38" i="1"/>
  <c r="K38" i="1"/>
  <c r="L38" i="1"/>
  <c r="O38" i="1"/>
  <c r="T38" i="1"/>
  <c r="U38" i="1"/>
  <c r="C39" i="1"/>
  <c r="D39" i="1"/>
  <c r="E39" i="1"/>
  <c r="H39" i="1"/>
  <c r="I39" i="1"/>
  <c r="J39" i="1"/>
  <c r="O39" i="1"/>
  <c r="P39" i="1"/>
  <c r="Q39" i="1"/>
  <c r="T39" i="1"/>
  <c r="U39" i="1"/>
  <c r="J18" i="1"/>
  <c r="K18" i="1"/>
  <c r="L18" i="1"/>
  <c r="M18" i="1"/>
  <c r="N18" i="1"/>
  <c r="O18" i="1"/>
  <c r="P18" i="1"/>
  <c r="Q18" i="1"/>
  <c r="R18" i="1"/>
  <c r="S18" i="1"/>
  <c r="T18" i="1"/>
  <c r="T20" i="1" s="1"/>
  <c r="U18" i="1"/>
  <c r="U20" i="1" s="1"/>
  <c r="J19" i="1"/>
  <c r="K19" i="1"/>
  <c r="L19" i="1"/>
  <c r="M19" i="1"/>
  <c r="N19" i="1"/>
  <c r="O19" i="1"/>
  <c r="P19" i="1"/>
  <c r="Q19" i="1"/>
  <c r="R19" i="1"/>
  <c r="S19" i="1"/>
  <c r="S20" i="1" s="1"/>
  <c r="T19" i="1"/>
  <c r="U19" i="1"/>
  <c r="J20" i="1"/>
  <c r="K20" i="1"/>
  <c r="L20" i="1"/>
  <c r="M20" i="1"/>
  <c r="N20" i="1"/>
  <c r="O20" i="1"/>
  <c r="P20" i="1"/>
  <c r="Q20" i="1"/>
  <c r="R20" i="1"/>
  <c r="J21" i="1"/>
  <c r="K21" i="1"/>
  <c r="L21" i="1"/>
  <c r="M21" i="1"/>
  <c r="N21" i="1"/>
  <c r="O21" i="1"/>
  <c r="P21" i="1"/>
  <c r="Q21" i="1"/>
  <c r="R21" i="1"/>
  <c r="C18" i="1"/>
  <c r="D18" i="1"/>
  <c r="E18" i="1"/>
  <c r="F18" i="1"/>
  <c r="G18" i="1"/>
  <c r="H18" i="1"/>
  <c r="I18" i="1"/>
  <c r="C19" i="1"/>
  <c r="C20" i="1" s="1"/>
  <c r="D19" i="1"/>
  <c r="D20" i="1" s="1"/>
  <c r="E19" i="1"/>
  <c r="E20" i="1" s="1"/>
  <c r="F19" i="1"/>
  <c r="F21" i="1" s="1"/>
  <c r="G19" i="1"/>
  <c r="G20" i="1" s="1"/>
  <c r="H19" i="1"/>
  <c r="I19" i="1"/>
  <c r="H20" i="1"/>
  <c r="I20" i="1"/>
  <c r="C21" i="1"/>
  <c r="E21" i="1"/>
  <c r="G21" i="1"/>
  <c r="H21" i="1"/>
  <c r="I21" i="1"/>
  <c r="B25" i="1"/>
  <c r="B37" i="1"/>
  <c r="B36" i="1"/>
  <c r="B3" i="1"/>
  <c r="B19" i="1"/>
  <c r="B18" i="1"/>
  <c r="S38" i="1" l="1"/>
  <c r="G38" i="1"/>
  <c r="M39" i="1"/>
  <c r="R38" i="1"/>
  <c r="F38" i="1"/>
  <c r="N39" i="1"/>
  <c r="S21" i="1"/>
  <c r="T21" i="1"/>
  <c r="U21" i="1"/>
  <c r="D21" i="1"/>
  <c r="F20" i="1"/>
  <c r="B38" i="1"/>
  <c r="B39" i="1"/>
  <c r="B21" i="1"/>
  <c r="B20" i="1"/>
</calcChain>
</file>

<file path=xl/sharedStrings.xml><?xml version="1.0" encoding="utf-8"?>
<sst xmlns="http://schemas.openxmlformats.org/spreadsheetml/2006/main" count="96" uniqueCount="33">
  <si>
    <t>Slottsgatan_East_in</t>
  </si>
  <si>
    <t>Slottsgatan_West_out</t>
  </si>
  <si>
    <t>Kungsgatan_South_out</t>
  </si>
  <si>
    <t>Kungsgatan_South_in</t>
  </si>
  <si>
    <t>Slottsgatan_East_out</t>
  </si>
  <si>
    <t>Kungsgatan_North_out</t>
  </si>
  <si>
    <t>Kungsgatan_North_in</t>
  </si>
  <si>
    <t>Slottsgatan_West_in</t>
  </si>
  <si>
    <t>mean, y_bar</t>
  </si>
  <si>
    <t>std, s_y</t>
  </si>
  <si>
    <t>CI: higher bound</t>
  </si>
  <si>
    <t>CI: lower bound</t>
  </si>
  <si>
    <t>mean, x_bar</t>
  </si>
  <si>
    <t>std, s_x</t>
  </si>
  <si>
    <t>T</t>
  </si>
  <si>
    <t>Is Null hypothsis rejected?</t>
  </si>
  <si>
    <t>Measurement No.</t>
  </si>
  <si>
    <t xml:space="preserve">Replication No. </t>
  </si>
  <si>
    <t>Measurements for motorized traffic</t>
  </si>
  <si>
    <t>Measurements for bicycle traffic</t>
  </si>
  <si>
    <t>Simulation of motorized traffic</t>
  </si>
  <si>
    <t>Simulation of bicycle traffic</t>
  </si>
  <si>
    <t>Average speed (km/h)</t>
  </si>
  <si>
    <t>Average acceleration (m/s2)</t>
  </si>
  <si>
    <t>Comparing measurements vs simulation output</t>
  </si>
  <si>
    <t>Example of 5 replications</t>
  </si>
  <si>
    <t>t_value</t>
  </si>
  <si>
    <t>sample_measurements</t>
  </si>
  <si>
    <t>confidence level, alpha</t>
  </si>
  <si>
    <t>simulation_runs</t>
  </si>
  <si>
    <t>expected_error, epsilon</t>
  </si>
  <si>
    <t>n_replications needed</t>
  </si>
  <si>
    <t>sp^2, pool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</si>
</sst>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0" fillId="0" borderId="2" xfId="0" applyBorder="1"/>
    <xf numFmtId="0" fontId="0" fillId="2" borderId="0" xfId="0" applyFill="1"/>
    <xf numFmtId="0" fontId="0" fillId="2" borderId="0" xfId="0" applyFill="1" applyAlignment="1">
      <alignment wrapText="1"/>
    </xf>
    <xf numFmtId="0" fontId="0" fillId="2" borderId="5" xfId="0" applyFill="1" applyBorder="1"/>
    <xf numFmtId="164" fontId="0" fillId="0" borderId="1" xfId="0" applyNumberFormat="1" applyBorder="1"/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2" borderId="2" xfId="0" applyFill="1" applyBorder="1"/>
    <xf numFmtId="0" fontId="1" fillId="0" borderId="0" xfId="0" applyFont="1" applyAlignment="1">
      <alignment wrapText="1"/>
    </xf>
    <xf numFmtId="0" fontId="1" fillId="0" borderId="5" xfId="0" applyFont="1" applyBorder="1" applyAlignment="1">
      <alignment wrapText="1"/>
    </xf>
    <xf numFmtId="0" fontId="0" fillId="2" borderId="2" xfId="0" applyFill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16" xfId="0" applyFont="1" applyBorder="1" applyAlignment="1">
      <alignment wrapText="1"/>
    </xf>
    <xf numFmtId="164" fontId="0" fillId="0" borderId="7" xfId="0" applyNumberFormat="1" applyBorder="1"/>
    <xf numFmtId="164" fontId="0" fillId="0" borderId="16" xfId="0" applyNumberFormat="1" applyBorder="1"/>
    <xf numFmtId="164" fontId="0" fillId="0" borderId="19" xfId="0" applyNumberFormat="1" applyBorder="1"/>
    <xf numFmtId="0" fontId="0" fillId="0" borderId="20" xfId="0" applyBorder="1"/>
    <xf numFmtId="0" fontId="0" fillId="0" borderId="22" xfId="0" applyBorder="1"/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0" fillId="0" borderId="19" xfId="0" applyBorder="1"/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0" fillId="2" borderId="10" xfId="0" applyFill="1" applyBorder="1"/>
    <xf numFmtId="0" fontId="0" fillId="2" borderId="31" xfId="0" applyFill="1" applyBorder="1"/>
    <xf numFmtId="0" fontId="0" fillId="0" borderId="10" xfId="0" applyBorder="1"/>
    <xf numFmtId="0" fontId="0" fillId="2" borderId="32" xfId="0" applyFill="1" applyBorder="1"/>
    <xf numFmtId="0" fontId="0" fillId="0" borderId="32" xfId="0" applyBorder="1"/>
    <xf numFmtId="165" fontId="0" fillId="0" borderId="31" xfId="0" applyNumberFormat="1" applyBorder="1"/>
    <xf numFmtId="2" fontId="0" fillId="0" borderId="31" xfId="0" applyNumberFormat="1" applyBorder="1"/>
    <xf numFmtId="165" fontId="0" fillId="0" borderId="32" xfId="0" applyNumberFormat="1" applyBorder="1"/>
    <xf numFmtId="1" fontId="0" fillId="0" borderId="19" xfId="0" applyNumberFormat="1" applyBorder="1"/>
    <xf numFmtId="164" fontId="0" fillId="0" borderId="9" xfId="0" applyNumberFormat="1" applyBorder="1"/>
    <xf numFmtId="164" fontId="0" fillId="0" borderId="8" xfId="0" applyNumberFormat="1" applyBorder="1"/>
    <xf numFmtId="164" fontId="0" fillId="0" borderId="23" xfId="0" applyNumberFormat="1" applyBorder="1"/>
    <xf numFmtId="1" fontId="0" fillId="0" borderId="20" xfId="0" applyNumberFormat="1" applyBorder="1"/>
    <xf numFmtId="1" fontId="0" fillId="0" borderId="22" xfId="0" applyNumberFormat="1" applyBorder="1"/>
    <xf numFmtId="164" fontId="0" fillId="0" borderId="20" xfId="0" applyNumberFormat="1" applyBorder="1"/>
    <xf numFmtId="164" fontId="0" fillId="0" borderId="22" xfId="0" applyNumberFormat="1" applyBorder="1"/>
    <xf numFmtId="164" fontId="0" fillId="0" borderId="33" xfId="0" applyNumberFormat="1" applyBorder="1"/>
    <xf numFmtId="164" fontId="0" fillId="0" borderId="21" xfId="0" applyNumberFormat="1" applyBorder="1"/>
    <xf numFmtId="1" fontId="0" fillId="0" borderId="21" xfId="0" applyNumberForma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164" fontId="0" fillId="0" borderId="0" xfId="0" applyNumberFormat="1" applyBorder="1"/>
    <xf numFmtId="0" fontId="0" fillId="0" borderId="21" xfId="0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F5B1-438D-405E-87DB-48B9C9646B62}">
  <dimension ref="A1:U46"/>
  <sheetViews>
    <sheetView tabSelected="1" workbookViewId="0">
      <selection activeCell="M51" sqref="M51"/>
    </sheetView>
  </sheetViews>
  <sheetFormatPr defaultRowHeight="15" x14ac:dyDescent="0.25"/>
  <cols>
    <col min="1" max="1" width="25.140625" customWidth="1"/>
    <col min="2" max="21" width="11.28515625" customWidth="1"/>
  </cols>
  <sheetData>
    <row r="1" spans="1:21" x14ac:dyDescent="0.25">
      <c r="A1" s="28" t="s">
        <v>27</v>
      </c>
      <c r="B1" s="30">
        <v>10</v>
      </c>
    </row>
    <row r="2" spans="1:21" x14ac:dyDescent="0.25">
      <c r="A2" s="31" t="s">
        <v>28</v>
      </c>
      <c r="B2" s="32">
        <v>0.05</v>
      </c>
    </row>
    <row r="3" spans="1:21" x14ac:dyDescent="0.25">
      <c r="A3" s="29" t="s">
        <v>26</v>
      </c>
      <c r="B3" s="33">
        <f>_xlfn.T.INV.2T(B2,B1-1)</f>
        <v>2.2621571627982053</v>
      </c>
    </row>
    <row r="4" spans="1:21" ht="15.75" thickBot="1" x14ac:dyDescent="0.3"/>
    <row r="5" spans="1:21" x14ac:dyDescent="0.25">
      <c r="B5" s="47" t="s">
        <v>18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6"/>
      <c r="R5" s="56" t="s">
        <v>19</v>
      </c>
      <c r="S5" s="57"/>
      <c r="T5" s="57"/>
      <c r="U5" s="58"/>
    </row>
    <row r="6" spans="1:21" x14ac:dyDescent="0.25">
      <c r="B6" s="61" t="s">
        <v>22</v>
      </c>
      <c r="C6" s="62"/>
      <c r="D6" s="62"/>
      <c r="E6" s="62"/>
      <c r="F6" s="62"/>
      <c r="G6" s="62"/>
      <c r="H6" s="62"/>
      <c r="I6" s="62"/>
      <c r="J6" s="63" t="s">
        <v>23</v>
      </c>
      <c r="K6" s="62"/>
      <c r="L6" s="62"/>
      <c r="M6" s="62"/>
      <c r="N6" s="62"/>
      <c r="O6" s="62"/>
      <c r="P6" s="62"/>
      <c r="Q6" s="64"/>
      <c r="R6" s="53" t="s">
        <v>22</v>
      </c>
      <c r="S6" s="54"/>
      <c r="T6" s="54"/>
      <c r="U6" s="55"/>
    </row>
    <row r="7" spans="1:21" s="1" customFormat="1" ht="30" customHeight="1" x14ac:dyDescent="0.25">
      <c r="A7" s="10" t="s">
        <v>16</v>
      </c>
      <c r="B7" s="16" t="s">
        <v>0</v>
      </c>
      <c r="C7" s="13" t="s">
        <v>1</v>
      </c>
      <c r="D7" s="13" t="s">
        <v>2</v>
      </c>
      <c r="E7" s="13" t="s">
        <v>3</v>
      </c>
      <c r="F7" s="13" t="s">
        <v>4</v>
      </c>
      <c r="G7" s="13" t="s">
        <v>5</v>
      </c>
      <c r="H7" s="13" t="s">
        <v>6</v>
      </c>
      <c r="I7" s="8" t="s">
        <v>7</v>
      </c>
      <c r="J7" s="13" t="s">
        <v>0</v>
      </c>
      <c r="K7" s="13" t="s">
        <v>1</v>
      </c>
      <c r="L7" s="13" t="s">
        <v>2</v>
      </c>
      <c r="M7" s="13" t="s">
        <v>3</v>
      </c>
      <c r="N7" s="13" t="s">
        <v>4</v>
      </c>
      <c r="O7" s="13" t="s">
        <v>5</v>
      </c>
      <c r="P7" s="13" t="s">
        <v>6</v>
      </c>
      <c r="Q7" s="17" t="s">
        <v>7</v>
      </c>
      <c r="R7" s="14" t="s">
        <v>3</v>
      </c>
      <c r="S7" s="14" t="s">
        <v>5</v>
      </c>
      <c r="T7" s="14" t="s">
        <v>6</v>
      </c>
      <c r="U7" s="24" t="s">
        <v>2</v>
      </c>
    </row>
    <row r="8" spans="1:21" x14ac:dyDescent="0.25">
      <c r="A8">
        <v>1</v>
      </c>
      <c r="B8" s="18">
        <v>24.635753999999999</v>
      </c>
      <c r="C8" s="9">
        <v>49.407964999999997</v>
      </c>
      <c r="D8" s="9">
        <v>48.586080000000003</v>
      </c>
      <c r="E8" s="9">
        <v>27.721257999999999</v>
      </c>
      <c r="F8" s="9">
        <v>39.932845999999998</v>
      </c>
      <c r="G8" s="9">
        <v>47.083692999999997</v>
      </c>
      <c r="H8" s="9">
        <v>35.379849</v>
      </c>
      <c r="I8" s="6">
        <v>20.611543999999999</v>
      </c>
      <c r="J8" s="9">
        <v>-1.7316279999999999</v>
      </c>
      <c r="K8" s="9">
        <v>0.71331500000000003</v>
      </c>
      <c r="L8" s="9">
        <v>0.52953499999999998</v>
      </c>
      <c r="M8" s="9">
        <v>-0.24466299999999999</v>
      </c>
      <c r="N8" s="9">
        <v>1.613156</v>
      </c>
      <c r="O8" s="9">
        <v>0.73516999999999999</v>
      </c>
      <c r="P8" s="9">
        <v>0.97767899999999996</v>
      </c>
      <c r="Q8" s="19">
        <v>-0.89466299999999999</v>
      </c>
      <c r="R8" s="9">
        <v>17.936622</v>
      </c>
      <c r="S8" s="9">
        <v>17.225608999999999</v>
      </c>
      <c r="T8" s="9">
        <v>18.290854</v>
      </c>
      <c r="U8" s="19">
        <v>18.076986999999999</v>
      </c>
    </row>
    <row r="9" spans="1:21" x14ac:dyDescent="0.25">
      <c r="A9">
        <v>2</v>
      </c>
      <c r="B9" s="18">
        <v>13.728666</v>
      </c>
      <c r="C9" s="9">
        <v>48.054316</v>
      </c>
      <c r="D9" s="9">
        <v>49.316775999999997</v>
      </c>
      <c r="E9" s="9">
        <v>28.772615999999999</v>
      </c>
      <c r="F9" s="9">
        <v>40.540658999999998</v>
      </c>
      <c r="G9" s="9">
        <v>46.503504</v>
      </c>
      <c r="H9" s="9">
        <v>34.513857999999999</v>
      </c>
      <c r="I9" s="6">
        <v>19.434623999999999</v>
      </c>
      <c r="J9" s="9">
        <v>-1.808996</v>
      </c>
      <c r="K9" s="9">
        <v>0.80443500000000001</v>
      </c>
      <c r="L9" s="9">
        <v>0.54079999999999995</v>
      </c>
      <c r="M9" s="9">
        <v>-7.6257000000000005E-2</v>
      </c>
      <c r="N9" s="9">
        <v>1.6482049999999999</v>
      </c>
      <c r="O9" s="9">
        <v>0.72528700000000002</v>
      </c>
      <c r="P9" s="9">
        <v>0.84409400000000001</v>
      </c>
      <c r="Q9" s="19">
        <v>-1.0288200000000001</v>
      </c>
      <c r="R9" s="9">
        <v>17.161975999999999</v>
      </c>
      <c r="S9" s="9">
        <v>16.993355999999999</v>
      </c>
      <c r="T9" s="9">
        <v>17.773412</v>
      </c>
      <c r="U9" s="19">
        <v>17.249230000000001</v>
      </c>
    </row>
    <row r="10" spans="1:21" x14ac:dyDescent="0.25">
      <c r="A10">
        <v>3</v>
      </c>
      <c r="B10" s="18">
        <v>11.001251999999999</v>
      </c>
      <c r="C10" s="9">
        <v>48.097634999999997</v>
      </c>
      <c r="D10" s="9">
        <v>48.972357000000002</v>
      </c>
      <c r="E10" s="9">
        <v>26.947251000000001</v>
      </c>
      <c r="F10" s="9">
        <v>40.178809999999999</v>
      </c>
      <c r="G10" s="9">
        <v>46.677970000000002</v>
      </c>
      <c r="H10" s="9">
        <v>33.665323000000001</v>
      </c>
      <c r="I10" s="6">
        <v>19.832819000000001</v>
      </c>
      <c r="J10" s="9">
        <v>-1.9474959999999999</v>
      </c>
      <c r="K10" s="9">
        <v>0.80924399999999996</v>
      </c>
      <c r="L10" s="9">
        <v>0.48205700000000001</v>
      </c>
      <c r="M10" s="9">
        <v>-0.147256</v>
      </c>
      <c r="N10" s="9">
        <v>1.557671</v>
      </c>
      <c r="O10" s="9">
        <v>0.72025600000000001</v>
      </c>
      <c r="P10" s="9">
        <v>1.0452889999999999</v>
      </c>
      <c r="Q10" s="19">
        <v>-0.81866099999999997</v>
      </c>
      <c r="R10" s="9">
        <v>17.566541999999998</v>
      </c>
      <c r="S10" s="9">
        <v>17.036859</v>
      </c>
      <c r="T10" s="9">
        <v>18.645762999999999</v>
      </c>
      <c r="U10" s="19">
        <v>18.255679000000001</v>
      </c>
    </row>
    <row r="11" spans="1:21" x14ac:dyDescent="0.25">
      <c r="A11">
        <v>4</v>
      </c>
      <c r="B11" s="18">
        <v>17.158073999999999</v>
      </c>
      <c r="C11" s="9">
        <v>49.871234000000001</v>
      </c>
      <c r="D11" s="9">
        <v>48.537773999999999</v>
      </c>
      <c r="E11" s="9">
        <v>26.690743000000001</v>
      </c>
      <c r="F11" s="9">
        <v>39.971460999999998</v>
      </c>
      <c r="G11" s="9">
        <v>46.568930000000002</v>
      </c>
      <c r="H11" s="9">
        <v>36.337744000000001</v>
      </c>
      <c r="I11" s="6">
        <v>19.583687999999999</v>
      </c>
      <c r="J11" s="9">
        <v>-1.56006</v>
      </c>
      <c r="K11" s="9">
        <v>0.83310700000000004</v>
      </c>
      <c r="L11" s="9">
        <v>0.55809200000000003</v>
      </c>
      <c r="M11" s="9">
        <v>-0.25386599999999998</v>
      </c>
      <c r="N11" s="9">
        <v>1.6343179999999999</v>
      </c>
      <c r="O11" s="9">
        <v>0.692052</v>
      </c>
      <c r="P11" s="9">
        <v>0.91693400000000003</v>
      </c>
      <c r="Q11" s="19">
        <v>-0.74820500000000001</v>
      </c>
      <c r="R11" s="9">
        <v>18.404102999999999</v>
      </c>
      <c r="S11" s="9">
        <v>17.711735999999998</v>
      </c>
      <c r="T11" s="9">
        <v>18.167815999999998</v>
      </c>
      <c r="U11" s="19">
        <v>17.905712999999999</v>
      </c>
    </row>
    <row r="12" spans="1:21" x14ac:dyDescent="0.25">
      <c r="A12">
        <v>5</v>
      </c>
      <c r="B12" s="18">
        <v>19.660910000000001</v>
      </c>
      <c r="C12" s="9">
        <v>49.286873999999997</v>
      </c>
      <c r="D12" s="9">
        <v>49.395122999999998</v>
      </c>
      <c r="E12" s="9">
        <v>25.798591999999999</v>
      </c>
      <c r="F12" s="9">
        <v>40.078859999999999</v>
      </c>
      <c r="G12" s="9">
        <v>46.664225999999999</v>
      </c>
      <c r="H12" s="9">
        <v>34.651817000000001</v>
      </c>
      <c r="I12" s="6">
        <v>19.430063000000001</v>
      </c>
      <c r="J12" s="9">
        <v>-1.817321</v>
      </c>
      <c r="K12" s="9">
        <v>0.78983999999999999</v>
      </c>
      <c r="L12" s="9">
        <v>0.462283</v>
      </c>
      <c r="M12" s="9">
        <v>-0.20832200000000001</v>
      </c>
      <c r="N12" s="9">
        <v>1.6370640000000001</v>
      </c>
      <c r="O12" s="9">
        <v>0.779972</v>
      </c>
      <c r="P12" s="9">
        <v>1.096265</v>
      </c>
      <c r="Q12" s="19">
        <v>-0.74091099999999999</v>
      </c>
      <c r="R12" s="9">
        <v>18.101731999999998</v>
      </c>
      <c r="S12" s="9">
        <v>17.937101999999999</v>
      </c>
      <c r="T12" s="9">
        <v>17.571650000000002</v>
      </c>
      <c r="U12" s="19">
        <v>17.294993999999999</v>
      </c>
    </row>
    <row r="13" spans="1:21" x14ac:dyDescent="0.25">
      <c r="A13">
        <v>6</v>
      </c>
      <c r="B13" s="18">
        <v>14.623014</v>
      </c>
      <c r="C13" s="9">
        <v>48.626005999999997</v>
      </c>
      <c r="D13" s="9">
        <v>48.896757000000001</v>
      </c>
      <c r="E13" s="9">
        <v>28.883208</v>
      </c>
      <c r="F13" s="9">
        <v>39.840159999999997</v>
      </c>
      <c r="G13" s="9">
        <v>45.851819999999996</v>
      </c>
      <c r="H13" s="9">
        <v>35.441811000000001</v>
      </c>
      <c r="I13" s="6">
        <v>13.565173</v>
      </c>
      <c r="J13" s="9">
        <v>-1.7169479999999999</v>
      </c>
      <c r="K13" s="9">
        <v>0.60080500000000003</v>
      </c>
      <c r="L13" s="9">
        <v>0.51135299999999995</v>
      </c>
      <c r="M13" s="9">
        <v>-0.31884499999999999</v>
      </c>
      <c r="N13" s="9">
        <v>1.5868150000000001</v>
      </c>
      <c r="O13" s="9">
        <v>0.749255</v>
      </c>
      <c r="P13" s="9">
        <v>0.92841499999999999</v>
      </c>
      <c r="Q13" s="19">
        <v>-0.33216000000000001</v>
      </c>
      <c r="R13" s="9">
        <v>17.816376999999999</v>
      </c>
      <c r="S13" s="9">
        <v>17.380421999999999</v>
      </c>
      <c r="T13" s="9">
        <v>18.306516999999999</v>
      </c>
      <c r="U13" s="19">
        <v>17.949943999999999</v>
      </c>
    </row>
    <row r="14" spans="1:21" x14ac:dyDescent="0.25">
      <c r="A14">
        <v>7</v>
      </c>
      <c r="B14" s="18">
        <v>23.570098000000002</v>
      </c>
      <c r="C14" s="9">
        <v>47.766956999999998</v>
      </c>
      <c r="D14" s="9">
        <v>49.370710000000003</v>
      </c>
      <c r="E14" s="9">
        <v>26.159091</v>
      </c>
      <c r="F14" s="9">
        <v>40.090595999999998</v>
      </c>
      <c r="G14" s="9">
        <v>47.036751000000002</v>
      </c>
      <c r="H14" s="9">
        <v>31.043084</v>
      </c>
      <c r="I14" s="6">
        <v>19.723279000000002</v>
      </c>
      <c r="J14" s="9">
        <v>-1.83582</v>
      </c>
      <c r="K14" s="9">
        <v>0.84906199999999998</v>
      </c>
      <c r="L14" s="9">
        <v>0.46643400000000002</v>
      </c>
      <c r="M14" s="9">
        <v>-0.282416</v>
      </c>
      <c r="N14" s="9">
        <v>1.6165590000000001</v>
      </c>
      <c r="O14" s="9">
        <v>0.71428899999999995</v>
      </c>
      <c r="P14" s="9">
        <v>0.964171</v>
      </c>
      <c r="Q14" s="19">
        <v>-0.92610300000000001</v>
      </c>
      <c r="R14" s="9">
        <v>18.461167</v>
      </c>
      <c r="S14" s="9">
        <v>18.066524000000001</v>
      </c>
      <c r="T14" s="9">
        <v>17.763864000000002</v>
      </c>
      <c r="U14" s="19">
        <v>17.557231999999999</v>
      </c>
    </row>
    <row r="15" spans="1:21" x14ac:dyDescent="0.25">
      <c r="A15">
        <v>8</v>
      </c>
      <c r="B15" s="18">
        <v>18.024972999999999</v>
      </c>
      <c r="C15" s="9">
        <v>48.646914000000002</v>
      </c>
      <c r="D15" s="9">
        <v>49.400160999999997</v>
      </c>
      <c r="E15" s="9">
        <v>27.323342</v>
      </c>
      <c r="F15" s="9">
        <v>40.275008</v>
      </c>
      <c r="G15" s="9">
        <v>47.005282999999999</v>
      </c>
      <c r="H15" s="9">
        <v>34.397872</v>
      </c>
      <c r="I15" s="6">
        <v>19.301832000000001</v>
      </c>
      <c r="J15" s="9">
        <v>-1.8449770000000001</v>
      </c>
      <c r="K15" s="9">
        <v>0.73339100000000002</v>
      </c>
      <c r="L15" s="9">
        <v>0.46151199999999998</v>
      </c>
      <c r="M15" s="9">
        <v>-0.30570199999999997</v>
      </c>
      <c r="N15" s="9">
        <v>1.566638</v>
      </c>
      <c r="O15" s="9">
        <v>0.71119500000000002</v>
      </c>
      <c r="P15" s="9">
        <v>0.94730400000000003</v>
      </c>
      <c r="Q15" s="19">
        <v>-0.83581499999999997</v>
      </c>
      <c r="R15" s="9">
        <v>18.614923999999998</v>
      </c>
      <c r="S15" s="9">
        <v>18.277667999999998</v>
      </c>
      <c r="T15" s="9">
        <v>18.169058</v>
      </c>
      <c r="U15" s="19">
        <v>17.981138999999999</v>
      </c>
    </row>
    <row r="16" spans="1:21" x14ac:dyDescent="0.25">
      <c r="A16">
        <v>9</v>
      </c>
      <c r="B16" s="18">
        <v>12.004727000000001</v>
      </c>
      <c r="C16" s="9">
        <v>49.124391000000003</v>
      </c>
      <c r="D16" s="9">
        <v>49.252923000000003</v>
      </c>
      <c r="E16" s="9">
        <v>23.431401999999999</v>
      </c>
      <c r="F16" s="9">
        <v>39.716084000000002</v>
      </c>
      <c r="G16" s="9">
        <v>47.378943999999997</v>
      </c>
      <c r="H16" s="9">
        <v>33.960856</v>
      </c>
      <c r="I16" s="6">
        <v>19.651295999999999</v>
      </c>
      <c r="J16" s="9">
        <v>-1.784286</v>
      </c>
      <c r="K16" s="9">
        <v>0.66234300000000002</v>
      </c>
      <c r="L16" s="9">
        <v>0.51770400000000005</v>
      </c>
      <c r="M16" s="9">
        <v>-0.14812700000000001</v>
      </c>
      <c r="N16" s="9">
        <v>1.592076</v>
      </c>
      <c r="O16" s="9">
        <v>0.665883</v>
      </c>
      <c r="P16" s="9">
        <v>0.99385100000000004</v>
      </c>
      <c r="Q16" s="19">
        <v>-0.25803799999999999</v>
      </c>
      <c r="R16" s="9">
        <v>17.679521999999999</v>
      </c>
      <c r="S16" s="9">
        <v>17.583179000000001</v>
      </c>
      <c r="T16" s="9">
        <v>18.077794999999998</v>
      </c>
      <c r="U16" s="19">
        <v>17.825586000000001</v>
      </c>
    </row>
    <row r="17" spans="1:21" ht="15.75" thickBot="1" x14ac:dyDescent="0.3">
      <c r="A17" s="2">
        <v>10</v>
      </c>
      <c r="B17" s="18">
        <v>20.198297</v>
      </c>
      <c r="C17" s="9">
        <v>48.247509000000001</v>
      </c>
      <c r="D17" s="9">
        <v>48.834102000000001</v>
      </c>
      <c r="E17" s="9">
        <v>28.260901</v>
      </c>
      <c r="F17" s="9">
        <v>41.415719000000003</v>
      </c>
      <c r="G17" s="9">
        <v>47.234212999999997</v>
      </c>
      <c r="H17" s="9">
        <v>34.724307000000003</v>
      </c>
      <c r="I17" s="6">
        <v>19.370345</v>
      </c>
      <c r="J17" s="9">
        <v>-1.8180460000000001</v>
      </c>
      <c r="K17" s="9">
        <v>0.83807699999999996</v>
      </c>
      <c r="L17" s="9">
        <v>0.52313100000000001</v>
      </c>
      <c r="M17" s="9">
        <v>-0.15750700000000001</v>
      </c>
      <c r="N17" s="9">
        <v>1.5497879999999999</v>
      </c>
      <c r="O17" s="9">
        <v>0.74710900000000002</v>
      </c>
      <c r="P17" s="9">
        <v>0.9496</v>
      </c>
      <c r="Q17" s="19">
        <v>-0.51372499999999999</v>
      </c>
      <c r="R17" s="9">
        <v>18.975217000000001</v>
      </c>
      <c r="S17" s="9">
        <v>18.775532999999999</v>
      </c>
      <c r="T17" s="9">
        <v>17.953803000000001</v>
      </c>
      <c r="U17" s="19">
        <v>17.641292</v>
      </c>
    </row>
    <row r="18" spans="1:21" x14ac:dyDescent="0.25">
      <c r="A18" s="3" t="s">
        <v>8</v>
      </c>
      <c r="B18" s="37">
        <f>AVERAGE(B8:B17)</f>
        <v>17.460576499999998</v>
      </c>
      <c r="C18" s="38">
        <f t="shared" ref="C18:J18" si="0">AVERAGE(C8:C17)</f>
        <v>48.712980099999996</v>
      </c>
      <c r="D18" s="38">
        <f t="shared" si="0"/>
        <v>49.0562763</v>
      </c>
      <c r="E18" s="38">
        <f t="shared" si="0"/>
        <v>26.998840399999995</v>
      </c>
      <c r="F18" s="38">
        <f t="shared" si="0"/>
        <v>40.204020300000003</v>
      </c>
      <c r="G18" s="38">
        <f t="shared" si="0"/>
        <v>46.800533399999999</v>
      </c>
      <c r="H18" s="38">
        <f t="shared" si="0"/>
        <v>34.411652099999998</v>
      </c>
      <c r="I18" s="44">
        <f t="shared" si="0"/>
        <v>19.0504663</v>
      </c>
      <c r="J18" s="38">
        <f t="shared" si="0"/>
        <v>-1.7865578</v>
      </c>
      <c r="K18" s="38">
        <f t="shared" ref="K18" si="1">AVERAGE(K8:K17)</f>
        <v>0.76336190000000004</v>
      </c>
      <c r="L18" s="38">
        <f t="shared" ref="L18" si="2">AVERAGE(L8:L17)</f>
        <v>0.50529010000000008</v>
      </c>
      <c r="M18" s="38">
        <f t="shared" ref="M18" si="3">AVERAGE(M8:M17)</f>
        <v>-0.21429609999999996</v>
      </c>
      <c r="N18" s="38">
        <f t="shared" ref="N18" si="4">AVERAGE(N8:N17)</f>
        <v>1.6002290000000001</v>
      </c>
      <c r="O18" s="38">
        <f t="shared" ref="O18" si="5">AVERAGE(O8:O17)</f>
        <v>0.72404679999999999</v>
      </c>
      <c r="P18" s="38">
        <f t="shared" ref="P18" si="6">AVERAGE(P8:P17)</f>
        <v>0.96636020000000011</v>
      </c>
      <c r="Q18" s="38">
        <f t="shared" ref="Q18:R18" si="7">AVERAGE(Q8:Q17)</f>
        <v>-0.70971010000000001</v>
      </c>
      <c r="R18" s="37">
        <f t="shared" si="7"/>
        <v>18.071818200000003</v>
      </c>
      <c r="S18" s="38">
        <f t="shared" ref="S18" si="8">AVERAGE(S8:S17)</f>
        <v>17.698798799999999</v>
      </c>
      <c r="T18" s="38">
        <f t="shared" ref="T18" si="9">AVERAGE(T8:T17)</f>
        <v>18.072053200000003</v>
      </c>
      <c r="U18" s="39">
        <f t="shared" ref="U18" si="10">AVERAGE(U8:U17)</f>
        <v>17.773779599999997</v>
      </c>
    </row>
    <row r="19" spans="1:21" x14ac:dyDescent="0.25">
      <c r="A19" s="3" t="s">
        <v>9</v>
      </c>
      <c r="B19" s="18">
        <f>_xlfn.STDEV.S(B8:B17)</f>
        <v>4.6550348013843736</v>
      </c>
      <c r="C19" s="9">
        <f t="shared" ref="C19:J19" si="11">_xlfn.STDEV.S(C8:C17)</f>
        <v>0.68792841263712468</v>
      </c>
      <c r="D19" s="9">
        <f t="shared" si="11"/>
        <v>0.33503761218640232</v>
      </c>
      <c r="E19" s="9">
        <f t="shared" si="11"/>
        <v>1.6291471543495253</v>
      </c>
      <c r="F19" s="9">
        <f t="shared" si="11"/>
        <v>0.48463500802082526</v>
      </c>
      <c r="G19" s="9">
        <f t="shared" si="11"/>
        <v>0.44422998785418932</v>
      </c>
      <c r="H19" s="9">
        <f t="shared" si="11"/>
        <v>1.4135065184820377</v>
      </c>
      <c r="I19" s="6">
        <f t="shared" si="11"/>
        <v>1.9633491354673662</v>
      </c>
      <c r="J19" s="9">
        <f t="shared" si="11"/>
        <v>0.1018447877865573</v>
      </c>
      <c r="K19" s="9">
        <f t="shared" ref="K19:U19" si="12">_xlfn.STDEV.S(K8:K17)</f>
        <v>8.3211243662606821E-2</v>
      </c>
      <c r="L19" s="9">
        <f t="shared" si="12"/>
        <v>3.4899341497926416E-2</v>
      </c>
      <c r="M19" s="9">
        <f t="shared" si="12"/>
        <v>8.0001366033406615E-2</v>
      </c>
      <c r="N19" s="9">
        <f t="shared" si="12"/>
        <v>3.4935798071446554E-2</v>
      </c>
      <c r="O19" s="9">
        <f t="shared" si="12"/>
        <v>3.1800870937758921E-2</v>
      </c>
      <c r="P19" s="9">
        <f t="shared" si="12"/>
        <v>6.9497816609668472E-2</v>
      </c>
      <c r="Q19" s="9">
        <f t="shared" si="12"/>
        <v>0.25777996903451073</v>
      </c>
      <c r="R19" s="18">
        <f t="shared" si="12"/>
        <v>0.54716798238359465</v>
      </c>
      <c r="S19" s="9">
        <f t="shared" si="12"/>
        <v>0.57359275640451857</v>
      </c>
      <c r="T19" s="9">
        <f t="shared" si="12"/>
        <v>0.31607963716365928</v>
      </c>
      <c r="U19" s="19">
        <f t="shared" si="12"/>
        <v>0.33117931727127314</v>
      </c>
    </row>
    <row r="20" spans="1:21" x14ac:dyDescent="0.25">
      <c r="A20" s="4" t="s">
        <v>10</v>
      </c>
      <c r="B20" s="18">
        <f>B18-$B$3*B19*SQRT(1/$B$1)</f>
        <v>14.130565207295904</v>
      </c>
      <c r="C20" s="9">
        <f t="shared" ref="C20:J20" si="13">C18-$B$3*C19*SQRT(1/$B$1)</f>
        <v>48.220865759206589</v>
      </c>
      <c r="D20" s="9">
        <f t="shared" si="13"/>
        <v>48.816604830362536</v>
      </c>
      <c r="E20" s="9">
        <f t="shared" si="13"/>
        <v>25.833418732293605</v>
      </c>
      <c r="F20" s="9">
        <f t="shared" si="13"/>
        <v>39.857333300137157</v>
      </c>
      <c r="G20" s="9">
        <f t="shared" si="13"/>
        <v>46.48275041034924</v>
      </c>
      <c r="H20" s="9">
        <f t="shared" si="13"/>
        <v>33.400490450369318</v>
      </c>
      <c r="I20" s="6">
        <f t="shared" si="13"/>
        <v>17.645970937111887</v>
      </c>
      <c r="J20" s="9">
        <f t="shared" si="13"/>
        <v>-1.8594131722802305</v>
      </c>
      <c r="K20" s="9">
        <f t="shared" ref="K20" si="14">K18-$B$3*K19*SQRT(1/$B$1)</f>
        <v>0.70383616219154654</v>
      </c>
      <c r="L20" s="9">
        <f t="shared" ref="L20" si="15">L18-$B$3*L19*SQRT(1/$B$1)</f>
        <v>0.48032461504562979</v>
      </c>
      <c r="M20" s="9">
        <f t="shared" ref="M20" si="16">M18-$B$3*M19*SQRT(1/$B$1)</f>
        <v>-0.27152562967908433</v>
      </c>
      <c r="N20" s="9">
        <f t="shared" ref="N20" si="17">N18-$B$3*N19*SQRT(1/$B$1)</f>
        <v>1.5752374355839942</v>
      </c>
      <c r="O20" s="9">
        <f t="shared" ref="O20" si="18">O18-$B$3*O19*SQRT(1/$B$1)</f>
        <v>0.70129782735879231</v>
      </c>
      <c r="P20" s="9">
        <f t="shared" ref="P20" si="19">P18-$B$3*P19*SQRT(1/$B$1)</f>
        <v>0.91664445693839103</v>
      </c>
      <c r="Q20" s="9">
        <f t="shared" ref="Q20:R20" si="20">Q18-$B$3*Q19*SQRT(1/$B$1)</f>
        <v>-0.8941147810697414</v>
      </c>
      <c r="R20" s="18">
        <f t="shared" si="20"/>
        <v>17.680397805075863</v>
      </c>
      <c r="S20" s="9">
        <f t="shared" ref="S20" si="21">S18-$B$3*S19*SQRT(1/$B$1)</f>
        <v>17.288475260491278</v>
      </c>
      <c r="T20" s="9">
        <f t="shared" ref="T20" si="22">T18-$B$3*T19*SQRT(1/$B$1)</f>
        <v>17.845943448718277</v>
      </c>
      <c r="U20" s="19">
        <f t="shared" ref="U20" si="23">U18-$B$3*U19*SQRT(1/$B$1)</f>
        <v>17.536868188275342</v>
      </c>
    </row>
    <row r="21" spans="1:21" ht="15.75" thickBot="1" x14ac:dyDescent="0.3">
      <c r="A21" s="15" t="s">
        <v>11</v>
      </c>
      <c r="B21" s="20">
        <f>B18+$B$3*B19*SQRT(1/$B$1)</f>
        <v>20.790587792704091</v>
      </c>
      <c r="C21" s="42">
        <f t="shared" ref="C21:J21" si="24">C18+$B$3*C19*SQRT(1/$B$1)</f>
        <v>49.205094440793403</v>
      </c>
      <c r="D21" s="42">
        <f t="shared" si="24"/>
        <v>49.295947769637465</v>
      </c>
      <c r="E21" s="42">
        <f t="shared" si="24"/>
        <v>28.164262067706385</v>
      </c>
      <c r="F21" s="42">
        <f t="shared" si="24"/>
        <v>40.55070729986285</v>
      </c>
      <c r="G21" s="42">
        <f t="shared" si="24"/>
        <v>47.118316389650758</v>
      </c>
      <c r="H21" s="42">
        <f t="shared" si="24"/>
        <v>35.422813749630677</v>
      </c>
      <c r="I21" s="45">
        <f t="shared" si="24"/>
        <v>20.454961662888113</v>
      </c>
      <c r="J21" s="42">
        <f t="shared" si="24"/>
        <v>-1.7137024277197694</v>
      </c>
      <c r="K21" s="42">
        <f t="shared" ref="K21:U21" si="25">K18+$B$3*K19*SQRT(1/$B$1)</f>
        <v>0.82288763780845353</v>
      </c>
      <c r="L21" s="42">
        <f t="shared" si="25"/>
        <v>0.53025558495437031</v>
      </c>
      <c r="M21" s="42">
        <f t="shared" si="25"/>
        <v>-0.15706657032091556</v>
      </c>
      <c r="N21" s="42">
        <f t="shared" si="25"/>
        <v>1.625220564416006</v>
      </c>
      <c r="O21" s="42">
        <f t="shared" si="25"/>
        <v>0.74679577264120767</v>
      </c>
      <c r="P21" s="42">
        <f t="shared" si="25"/>
        <v>1.0160759430616093</v>
      </c>
      <c r="Q21" s="42">
        <f t="shared" si="25"/>
        <v>-0.52530541893025862</v>
      </c>
      <c r="R21" s="20">
        <f t="shared" si="25"/>
        <v>18.463238594924142</v>
      </c>
      <c r="S21" s="42">
        <f t="shared" si="25"/>
        <v>18.109122339508719</v>
      </c>
      <c r="T21" s="42">
        <f t="shared" si="25"/>
        <v>18.298162951281729</v>
      </c>
      <c r="U21" s="43">
        <f t="shared" si="25"/>
        <v>18.010691011724653</v>
      </c>
    </row>
    <row r="22" spans="1:21" x14ac:dyDescent="0.25">
      <c r="A22" s="11"/>
      <c r="B22" s="9"/>
    </row>
    <row r="23" spans="1:21" x14ac:dyDescent="0.25">
      <c r="A23" s="28" t="s">
        <v>29</v>
      </c>
      <c r="B23" s="30">
        <v>5</v>
      </c>
    </row>
    <row r="24" spans="1:21" x14ac:dyDescent="0.25">
      <c r="A24" s="31" t="s">
        <v>28</v>
      </c>
      <c r="B24" s="32">
        <v>0.05</v>
      </c>
    </row>
    <row r="25" spans="1:21" x14ac:dyDescent="0.25">
      <c r="A25" s="31" t="s">
        <v>26</v>
      </c>
      <c r="B25" s="35">
        <f>_xlfn.T.INV.2T(B24,B23-1)</f>
        <v>2.7764451051977934</v>
      </c>
    </row>
    <row r="26" spans="1:21" x14ac:dyDescent="0.25">
      <c r="A26" s="29" t="s">
        <v>30</v>
      </c>
      <c r="B26" s="34">
        <v>0.05</v>
      </c>
    </row>
    <row r="27" spans="1:21" ht="15.75" thickBot="1" x14ac:dyDescent="0.3">
      <c r="A27" s="11"/>
      <c r="B27" s="9"/>
    </row>
    <row r="28" spans="1:21" x14ac:dyDescent="0.25">
      <c r="B28" s="67" t="s">
        <v>20</v>
      </c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9"/>
      <c r="R28" s="56" t="s">
        <v>21</v>
      </c>
      <c r="S28" s="57"/>
      <c r="T28" s="57"/>
      <c r="U28" s="58"/>
    </row>
    <row r="29" spans="1:21" x14ac:dyDescent="0.25">
      <c r="B29" s="61" t="s">
        <v>22</v>
      </c>
      <c r="C29" s="62"/>
      <c r="D29" s="62"/>
      <c r="E29" s="62"/>
      <c r="F29" s="62"/>
      <c r="G29" s="62"/>
      <c r="H29" s="62"/>
      <c r="I29" s="62"/>
      <c r="J29" s="63" t="s">
        <v>23</v>
      </c>
      <c r="K29" s="62"/>
      <c r="L29" s="62"/>
      <c r="M29" s="62"/>
      <c r="N29" s="62"/>
      <c r="O29" s="62"/>
      <c r="P29" s="62"/>
      <c r="Q29" s="64"/>
      <c r="R29" s="53" t="s">
        <v>22</v>
      </c>
      <c r="S29" s="54"/>
      <c r="T29" s="54"/>
      <c r="U29" s="55"/>
    </row>
    <row r="30" spans="1:21" ht="29.25" customHeight="1" thickBot="1" x14ac:dyDescent="0.3">
      <c r="A30" s="10" t="s">
        <v>17</v>
      </c>
      <c r="B30" s="16" t="s">
        <v>0</v>
      </c>
      <c r="C30" s="13" t="s">
        <v>1</v>
      </c>
      <c r="D30" s="13" t="s">
        <v>2</v>
      </c>
      <c r="E30" s="13" t="s">
        <v>3</v>
      </c>
      <c r="F30" s="13" t="s">
        <v>4</v>
      </c>
      <c r="G30" s="13" t="s">
        <v>5</v>
      </c>
      <c r="H30" s="13" t="s">
        <v>6</v>
      </c>
      <c r="I30" s="8" t="s">
        <v>7</v>
      </c>
      <c r="J30" s="7" t="s">
        <v>0</v>
      </c>
      <c r="K30" s="13" t="s">
        <v>1</v>
      </c>
      <c r="L30" s="13" t="s">
        <v>2</v>
      </c>
      <c r="M30" s="13" t="s">
        <v>3</v>
      </c>
      <c r="N30" s="13" t="s">
        <v>4</v>
      </c>
      <c r="O30" s="13" t="s">
        <v>5</v>
      </c>
      <c r="P30" s="13" t="s">
        <v>6</v>
      </c>
      <c r="Q30" s="17" t="s">
        <v>7</v>
      </c>
      <c r="R30" s="14" t="s">
        <v>3</v>
      </c>
      <c r="S30" s="14" t="s">
        <v>5</v>
      </c>
      <c r="T30" s="14" t="s">
        <v>6</v>
      </c>
      <c r="U30" s="24" t="s">
        <v>2</v>
      </c>
    </row>
    <row r="31" spans="1:21" x14ac:dyDescent="0.25">
      <c r="A31" s="59" t="s">
        <v>25</v>
      </c>
      <c r="B31" s="37">
        <v>29.513271</v>
      </c>
      <c r="C31" s="38">
        <v>48.877032</v>
      </c>
      <c r="D31" s="38">
        <v>49.612924999999997</v>
      </c>
      <c r="E31" s="38">
        <v>33.995489999999997</v>
      </c>
      <c r="F31" s="38">
        <v>40.474423999999999</v>
      </c>
      <c r="G31" s="38">
        <v>47.005730999999997</v>
      </c>
      <c r="H31" s="38">
        <v>39.878655000000002</v>
      </c>
      <c r="I31" s="44">
        <v>21.419917999999999</v>
      </c>
      <c r="J31" s="38">
        <v>-2.1767089999999998</v>
      </c>
      <c r="K31" s="38">
        <v>0.746614</v>
      </c>
      <c r="L31" s="38">
        <v>0.50010100000000002</v>
      </c>
      <c r="M31" s="38">
        <v>-0.20899000000000001</v>
      </c>
      <c r="N31" s="38">
        <v>1.611496</v>
      </c>
      <c r="O31" s="38">
        <v>0.65861899999999995</v>
      </c>
      <c r="P31" s="38">
        <v>0.84627699999999995</v>
      </c>
      <c r="Q31" s="39">
        <v>-0.65612499999999996</v>
      </c>
      <c r="R31" s="38">
        <v>14.940548</v>
      </c>
      <c r="S31" s="38">
        <v>14.756052</v>
      </c>
      <c r="T31" s="38">
        <v>14.008808999999999</v>
      </c>
      <c r="U31" s="39">
        <v>13.542671</v>
      </c>
    </row>
    <row r="32" spans="1:21" x14ac:dyDescent="0.25">
      <c r="A32" s="59"/>
      <c r="B32" s="18">
        <v>26.762316999999999</v>
      </c>
      <c r="C32" s="9">
        <v>48.751190000000001</v>
      </c>
      <c r="D32" s="9">
        <v>49.676479999999998</v>
      </c>
      <c r="E32" s="9">
        <v>33.385778000000002</v>
      </c>
      <c r="F32" s="9">
        <v>40.970488000000003</v>
      </c>
      <c r="G32" s="9">
        <v>47.760455999999998</v>
      </c>
      <c r="H32" s="9">
        <v>40.419262000000003</v>
      </c>
      <c r="I32" s="6">
        <v>27.559353000000002</v>
      </c>
      <c r="J32" s="9">
        <v>-1.7389810000000001</v>
      </c>
      <c r="K32" s="9">
        <v>0.93376499999999996</v>
      </c>
      <c r="L32" s="9">
        <v>0.49331000000000003</v>
      </c>
      <c r="M32" s="9">
        <v>-0.10462200000000001</v>
      </c>
      <c r="N32" s="9">
        <v>1.5011909999999999</v>
      </c>
      <c r="O32" s="9">
        <v>0.69711999999999996</v>
      </c>
      <c r="P32" s="9">
        <v>1.0026170000000001</v>
      </c>
      <c r="Q32" s="19">
        <v>-0.53659299999999999</v>
      </c>
      <c r="R32" s="9">
        <v>14.005872999999999</v>
      </c>
      <c r="S32" s="9">
        <v>13.802110000000001</v>
      </c>
      <c r="T32" s="9">
        <v>14.529128999999999</v>
      </c>
      <c r="U32" s="19">
        <v>14.357393999999999</v>
      </c>
    </row>
    <row r="33" spans="1:21" x14ac:dyDescent="0.25">
      <c r="A33" s="59"/>
      <c r="B33" s="18">
        <v>28.252417000000001</v>
      </c>
      <c r="C33" s="9">
        <v>48.779806999999998</v>
      </c>
      <c r="D33" s="9">
        <v>49.727182999999997</v>
      </c>
      <c r="E33" s="9">
        <v>33.386018</v>
      </c>
      <c r="F33" s="9">
        <v>40.058841000000001</v>
      </c>
      <c r="G33" s="9">
        <v>47.397494000000002</v>
      </c>
      <c r="H33" s="9">
        <v>39.247159000000003</v>
      </c>
      <c r="I33" s="6">
        <v>23.714549999999999</v>
      </c>
      <c r="J33" s="9">
        <v>-1.8540209999999999</v>
      </c>
      <c r="K33" s="9">
        <v>0.98577599999999999</v>
      </c>
      <c r="L33" s="9">
        <v>0.53115500000000004</v>
      </c>
      <c r="M33" s="9">
        <v>-7.5607999999999995E-2</v>
      </c>
      <c r="N33" s="9">
        <v>1.6517770000000001</v>
      </c>
      <c r="O33" s="9">
        <v>0.69949700000000004</v>
      </c>
      <c r="P33" s="9">
        <v>1.005873</v>
      </c>
      <c r="Q33" s="19">
        <v>-0.695855</v>
      </c>
      <c r="R33" s="9">
        <v>14.512700000000001</v>
      </c>
      <c r="S33" s="9">
        <v>14.259003999999999</v>
      </c>
      <c r="T33" s="9">
        <v>14.435273</v>
      </c>
      <c r="U33" s="19">
        <v>14.162868</v>
      </c>
    </row>
    <row r="34" spans="1:21" x14ac:dyDescent="0.25">
      <c r="A34" s="59"/>
      <c r="B34" s="18">
        <v>28.614356999999998</v>
      </c>
      <c r="C34" s="9">
        <v>50.425322999999999</v>
      </c>
      <c r="D34" s="9">
        <v>50.318899000000002</v>
      </c>
      <c r="E34" s="9">
        <v>30.271044</v>
      </c>
      <c r="F34" s="9">
        <v>39.469119999999997</v>
      </c>
      <c r="G34" s="9">
        <v>48.546394999999997</v>
      </c>
      <c r="H34" s="9">
        <v>39.061768000000001</v>
      </c>
      <c r="I34" s="6">
        <v>23.007161</v>
      </c>
      <c r="J34" s="9">
        <v>-1.97803</v>
      </c>
      <c r="K34" s="9">
        <v>0.78190999999999999</v>
      </c>
      <c r="L34" s="9">
        <v>0.52546800000000005</v>
      </c>
      <c r="M34" s="9">
        <v>-0.15221199999999999</v>
      </c>
      <c r="N34" s="9">
        <v>1.5546329999999999</v>
      </c>
      <c r="O34" s="9">
        <v>0.62304899999999996</v>
      </c>
      <c r="P34" s="9">
        <v>1.1634199999999999</v>
      </c>
      <c r="Q34" s="19">
        <v>-0.52661599999999997</v>
      </c>
      <c r="R34" s="9">
        <v>14.467627999999999</v>
      </c>
      <c r="S34" s="9">
        <v>14.026106</v>
      </c>
      <c r="T34" s="9">
        <v>14.398546</v>
      </c>
      <c r="U34" s="19">
        <v>14.293545</v>
      </c>
    </row>
    <row r="35" spans="1:21" ht="15.75" thickBot="1" x14ac:dyDescent="0.3">
      <c r="A35" s="60"/>
      <c r="B35" s="18">
        <v>29.822756999999999</v>
      </c>
      <c r="C35" s="70">
        <v>48.491159000000003</v>
      </c>
      <c r="D35" s="70">
        <v>50.388582999999997</v>
      </c>
      <c r="E35" s="70">
        <v>33.175325000000001</v>
      </c>
      <c r="F35" s="70">
        <v>41.119951999999998</v>
      </c>
      <c r="G35" s="70">
        <v>47.861946000000003</v>
      </c>
      <c r="H35" s="70">
        <v>38.864279000000003</v>
      </c>
      <c r="I35" s="6">
        <v>26.165157000000001</v>
      </c>
      <c r="J35" s="70">
        <v>-1.739233</v>
      </c>
      <c r="K35" s="70">
        <v>0.81557400000000002</v>
      </c>
      <c r="L35" s="70">
        <v>0.443328</v>
      </c>
      <c r="M35" s="70">
        <v>1.9643999999999998E-2</v>
      </c>
      <c r="N35" s="70">
        <v>1.58941</v>
      </c>
      <c r="O35" s="70">
        <v>0.67915700000000001</v>
      </c>
      <c r="P35" s="70">
        <v>1.077296</v>
      </c>
      <c r="Q35" s="19">
        <v>-0.77299499999999999</v>
      </c>
      <c r="R35" s="70">
        <v>14.398546</v>
      </c>
      <c r="S35" s="70">
        <v>14.22945</v>
      </c>
      <c r="T35" s="70">
        <v>14.488421000000001</v>
      </c>
      <c r="U35" s="19">
        <v>13.931056999999999</v>
      </c>
    </row>
    <row r="36" spans="1:21" x14ac:dyDescent="0.25">
      <c r="A36" s="5" t="s">
        <v>12</v>
      </c>
      <c r="B36" s="37">
        <f>AVERAGE(B31:B35)</f>
        <v>28.593023800000005</v>
      </c>
      <c r="C36" s="38">
        <f t="shared" ref="C36:U36" si="26">AVERAGE(C31:C35)</f>
        <v>49.064902199999999</v>
      </c>
      <c r="D36" s="38">
        <f t="shared" si="26"/>
        <v>49.944813999999994</v>
      </c>
      <c r="E36" s="38">
        <f t="shared" si="26"/>
        <v>32.842731000000001</v>
      </c>
      <c r="F36" s="38">
        <f t="shared" si="26"/>
        <v>40.418565000000001</v>
      </c>
      <c r="G36" s="38">
        <f t="shared" si="26"/>
        <v>47.714404399999999</v>
      </c>
      <c r="H36" s="38">
        <f t="shared" si="26"/>
        <v>39.49422460000001</v>
      </c>
      <c r="I36" s="44">
        <f t="shared" si="26"/>
        <v>24.373227800000002</v>
      </c>
      <c r="J36" s="38">
        <f t="shared" si="26"/>
        <v>-1.8973948</v>
      </c>
      <c r="K36" s="38">
        <f t="shared" si="26"/>
        <v>0.85272779999999992</v>
      </c>
      <c r="L36" s="38">
        <f t="shared" si="26"/>
        <v>0.49867240000000007</v>
      </c>
      <c r="M36" s="38">
        <f t="shared" si="26"/>
        <v>-0.10435760000000001</v>
      </c>
      <c r="N36" s="38">
        <f t="shared" si="26"/>
        <v>1.5817014</v>
      </c>
      <c r="O36" s="38">
        <f t="shared" si="26"/>
        <v>0.67148839999999999</v>
      </c>
      <c r="P36" s="38">
        <f t="shared" si="26"/>
        <v>1.0190965999999999</v>
      </c>
      <c r="Q36" s="38">
        <f t="shared" si="26"/>
        <v>-0.63763679999999989</v>
      </c>
      <c r="R36" s="37">
        <f t="shared" si="26"/>
        <v>14.465059</v>
      </c>
      <c r="S36" s="38">
        <f t="shared" si="26"/>
        <v>14.214544399999999</v>
      </c>
      <c r="T36" s="38">
        <f t="shared" si="26"/>
        <v>14.3720356</v>
      </c>
      <c r="U36" s="39">
        <f t="shared" si="26"/>
        <v>14.057507000000001</v>
      </c>
    </row>
    <row r="37" spans="1:21" x14ac:dyDescent="0.25">
      <c r="A37" s="3" t="s">
        <v>13</v>
      </c>
      <c r="B37" s="18">
        <f>_xlfn.STDEV.S(B31:B35)</f>
        <v>1.2069645953263086</v>
      </c>
      <c r="C37" s="70">
        <f t="shared" ref="C37:U37" si="27">_xlfn.STDEV.S(C31:C35)</f>
        <v>0.77377578182552231</v>
      </c>
      <c r="D37" s="70">
        <f t="shared" si="27"/>
        <v>0.37629350533327144</v>
      </c>
      <c r="E37" s="70">
        <f t="shared" si="27"/>
        <v>1.4699580704448678</v>
      </c>
      <c r="F37" s="70">
        <f t="shared" si="27"/>
        <v>0.67648542367519016</v>
      </c>
      <c r="G37" s="70">
        <f t="shared" si="27"/>
        <v>0.57418372964957787</v>
      </c>
      <c r="H37" s="70">
        <f t="shared" si="27"/>
        <v>0.64194479988337028</v>
      </c>
      <c r="I37" s="6">
        <f t="shared" si="27"/>
        <v>2.4690300610228917</v>
      </c>
      <c r="J37" s="70">
        <f t="shared" si="27"/>
        <v>0.18473618442037812</v>
      </c>
      <c r="K37" s="70">
        <f t="shared" si="27"/>
        <v>0.10237743343725886</v>
      </c>
      <c r="L37" s="70">
        <f t="shared" si="27"/>
        <v>3.4881665403188551E-2</v>
      </c>
      <c r="M37" s="70">
        <f t="shared" si="27"/>
        <v>8.5791883268756836E-2</v>
      </c>
      <c r="N37" s="70">
        <f t="shared" si="27"/>
        <v>5.7167196024468486E-2</v>
      </c>
      <c r="O37" s="70">
        <f t="shared" si="27"/>
        <v>3.1671220955308957E-2</v>
      </c>
      <c r="P37" s="70">
        <f t="shared" si="27"/>
        <v>0.11675772876473799</v>
      </c>
      <c r="Q37" s="70">
        <f t="shared" si="27"/>
        <v>0.10557992494882788</v>
      </c>
      <c r="R37" s="18">
        <f t="shared" si="27"/>
        <v>0.3330322114781093</v>
      </c>
      <c r="S37" s="70">
        <f t="shared" si="27"/>
        <v>0.353921064186352</v>
      </c>
      <c r="T37" s="70">
        <f t="shared" si="27"/>
        <v>0.20908086394455161</v>
      </c>
      <c r="U37" s="19">
        <f t="shared" si="27"/>
        <v>0.33082956334417851</v>
      </c>
    </row>
    <row r="38" spans="1:21" x14ac:dyDescent="0.25">
      <c r="A38" s="4" t="s">
        <v>10</v>
      </c>
      <c r="B38" s="18">
        <f>B36-$B$25*B37*SQRT(1/$B$23)</f>
        <v>27.09437931487675</v>
      </c>
      <c r="C38" s="70">
        <f t="shared" ref="C38:U38" si="28">C36-$B$25*C37*SQRT(1/$B$23)</f>
        <v>48.104132669025276</v>
      </c>
      <c r="D38" s="70">
        <f t="shared" si="28"/>
        <v>49.477583901669774</v>
      </c>
      <c r="E38" s="70">
        <f t="shared" si="28"/>
        <v>31.017536985059536</v>
      </c>
      <c r="F38" s="70">
        <f t="shared" si="28"/>
        <v>39.578597404112898</v>
      </c>
      <c r="G38" s="70">
        <f t="shared" si="28"/>
        <v>47.001461134539753</v>
      </c>
      <c r="H38" s="70">
        <f t="shared" si="28"/>
        <v>38.697144853150711</v>
      </c>
      <c r="I38" s="6">
        <f t="shared" si="28"/>
        <v>21.307522062745036</v>
      </c>
      <c r="J38" s="70">
        <f t="shared" si="28"/>
        <v>-2.1267750693603147</v>
      </c>
      <c r="K38" s="70">
        <f t="shared" si="28"/>
        <v>0.72560942667245332</v>
      </c>
      <c r="L38" s="70">
        <f t="shared" si="28"/>
        <v>0.45536109187147106</v>
      </c>
      <c r="M38" s="70">
        <f t="shared" si="28"/>
        <v>-0.21088229279291523</v>
      </c>
      <c r="N38" s="70">
        <f t="shared" si="28"/>
        <v>1.5107189508181602</v>
      </c>
      <c r="O38" s="70">
        <f t="shared" si="28"/>
        <v>0.63216338516063619</v>
      </c>
      <c r="P38" s="70">
        <f t="shared" si="28"/>
        <v>0.87412273168078469</v>
      </c>
      <c r="Q38" s="70">
        <f t="shared" si="28"/>
        <v>-0.76873159174201489</v>
      </c>
      <c r="R38" s="18">
        <f t="shared" si="28"/>
        <v>14.051544892765449</v>
      </c>
      <c r="S38" s="70">
        <f t="shared" si="28"/>
        <v>13.775093356393842</v>
      </c>
      <c r="T38" s="70">
        <f t="shared" si="28"/>
        <v>14.11242741852671</v>
      </c>
      <c r="U38" s="19">
        <f t="shared" si="28"/>
        <v>13.646727841654062</v>
      </c>
    </row>
    <row r="39" spans="1:21" x14ac:dyDescent="0.25">
      <c r="A39" s="4" t="s">
        <v>11</v>
      </c>
      <c r="B39" s="18">
        <f>B36+$B$25*B37*SQRT(1/$B$23)</f>
        <v>30.091668285123259</v>
      </c>
      <c r="C39" s="70">
        <f t="shared" ref="C39:U39" si="29">C36+$B$25*C37*SQRT(1/$B$23)</f>
        <v>50.025671730974722</v>
      </c>
      <c r="D39" s="70">
        <f t="shared" si="29"/>
        <v>50.412044098330213</v>
      </c>
      <c r="E39" s="70">
        <f t="shared" si="29"/>
        <v>34.667925014940465</v>
      </c>
      <c r="F39" s="70">
        <f t="shared" si="29"/>
        <v>41.258532595887104</v>
      </c>
      <c r="G39" s="70">
        <f t="shared" si="29"/>
        <v>48.427347665460246</v>
      </c>
      <c r="H39" s="70">
        <f t="shared" si="29"/>
        <v>40.291304346849309</v>
      </c>
      <c r="I39" s="6">
        <f t="shared" si="29"/>
        <v>27.438933537254968</v>
      </c>
      <c r="J39" s="70">
        <f t="shared" si="29"/>
        <v>-1.6680145306396854</v>
      </c>
      <c r="K39" s="70">
        <f t="shared" si="29"/>
        <v>0.97984617332754653</v>
      </c>
      <c r="L39" s="70">
        <f t="shared" si="29"/>
        <v>0.54198370812852903</v>
      </c>
      <c r="M39" s="70">
        <f t="shared" si="29"/>
        <v>2.1670927929152151E-3</v>
      </c>
      <c r="N39" s="70">
        <f t="shared" si="29"/>
        <v>1.6526838491818399</v>
      </c>
      <c r="O39" s="70">
        <f t="shared" si="29"/>
        <v>0.71081341483936378</v>
      </c>
      <c r="P39" s="70">
        <f t="shared" si="29"/>
        <v>1.1640704683192151</v>
      </c>
      <c r="Q39" s="70">
        <f t="shared" si="29"/>
        <v>-0.5065420082579849</v>
      </c>
      <c r="R39" s="18">
        <f t="shared" si="29"/>
        <v>14.878573107234551</v>
      </c>
      <c r="S39" s="70">
        <f t="shared" si="29"/>
        <v>14.653995443606156</v>
      </c>
      <c r="T39" s="70">
        <f t="shared" si="29"/>
        <v>14.63164378147329</v>
      </c>
      <c r="U39" s="19">
        <f t="shared" si="29"/>
        <v>14.46828615834594</v>
      </c>
    </row>
    <row r="40" spans="1:21" ht="15.75" thickBot="1" x14ac:dyDescent="0.3">
      <c r="A40" s="26" t="s">
        <v>31</v>
      </c>
      <c r="B40" s="36">
        <f>((B37*$B$25)/(B36*$B$26))^2</f>
        <v>5.4942328835254965</v>
      </c>
      <c r="C40" s="40">
        <f t="shared" ref="C40:U40" si="30">((C37*$B$25)/(C36*$B$26))^2</f>
        <v>0.76687850353297693</v>
      </c>
      <c r="D40" s="40">
        <f t="shared" si="30"/>
        <v>0.17502932534212051</v>
      </c>
      <c r="E40" s="40">
        <f t="shared" si="30"/>
        <v>6.1768853614842572</v>
      </c>
      <c r="F40" s="40">
        <f t="shared" si="30"/>
        <v>0.86376037955400697</v>
      </c>
      <c r="G40" s="40">
        <f t="shared" si="30"/>
        <v>0.44652000761500821</v>
      </c>
      <c r="H40" s="40">
        <f t="shared" si="30"/>
        <v>0.814641181809304</v>
      </c>
      <c r="I40" s="46">
        <f t="shared" si="30"/>
        <v>31.642066125154116</v>
      </c>
      <c r="J40" s="40">
        <f t="shared" si="30"/>
        <v>29.22985765491282</v>
      </c>
      <c r="K40" s="40">
        <f t="shared" si="30"/>
        <v>44.445296287245831</v>
      </c>
      <c r="L40" s="40">
        <f t="shared" si="30"/>
        <v>15.086966758279411</v>
      </c>
      <c r="M40" s="40">
        <f t="shared" si="30"/>
        <v>2083.9265658542149</v>
      </c>
      <c r="N40" s="40">
        <f t="shared" si="30"/>
        <v>4.0279396780255219</v>
      </c>
      <c r="O40" s="40">
        <f t="shared" si="30"/>
        <v>6.859473091868213</v>
      </c>
      <c r="P40" s="40">
        <f t="shared" si="30"/>
        <v>40.474243944448737</v>
      </c>
      <c r="Q40" s="40">
        <f t="shared" si="30"/>
        <v>84.53841955076787</v>
      </c>
      <c r="R40" s="36">
        <f t="shared" si="30"/>
        <v>1.6344447237739059</v>
      </c>
      <c r="S40" s="40">
        <f t="shared" si="30"/>
        <v>1.9115475571121976</v>
      </c>
      <c r="T40" s="40">
        <f t="shared" si="30"/>
        <v>0.65257461688239438</v>
      </c>
      <c r="U40" s="41">
        <f t="shared" si="30"/>
        <v>1.7077731462954904</v>
      </c>
    </row>
    <row r="41" spans="1:21" ht="15.75" thickBot="1" x14ac:dyDescent="0.3"/>
    <row r="42" spans="1:21" x14ac:dyDescent="0.25">
      <c r="B42" s="47" t="s">
        <v>22</v>
      </c>
      <c r="C42" s="48"/>
      <c r="D42" s="48"/>
      <c r="E42" s="48"/>
      <c r="F42" s="48"/>
      <c r="G42" s="48"/>
      <c r="H42" s="48"/>
      <c r="I42" s="49"/>
      <c r="J42" s="47" t="s">
        <v>23</v>
      </c>
      <c r="K42" s="48"/>
      <c r="L42" s="48"/>
      <c r="M42" s="48"/>
      <c r="N42" s="48"/>
      <c r="O42" s="48"/>
      <c r="P42" s="48"/>
      <c r="Q42" s="49"/>
      <c r="R42" s="50" t="s">
        <v>22</v>
      </c>
      <c r="S42" s="51"/>
      <c r="T42" s="51"/>
      <c r="U42" s="52"/>
    </row>
    <row r="43" spans="1:21" ht="30.75" thickBot="1" x14ac:dyDescent="0.3">
      <c r="A43" s="27" t="s">
        <v>24</v>
      </c>
      <c r="B43" s="16" t="s">
        <v>0</v>
      </c>
      <c r="C43" s="13" t="s">
        <v>1</v>
      </c>
      <c r="D43" s="13" t="s">
        <v>2</v>
      </c>
      <c r="E43" s="13" t="s">
        <v>3</v>
      </c>
      <c r="F43" s="13" t="s">
        <v>4</v>
      </c>
      <c r="G43" s="13" t="s">
        <v>5</v>
      </c>
      <c r="H43" s="13" t="s">
        <v>6</v>
      </c>
      <c r="I43" s="17" t="s">
        <v>7</v>
      </c>
      <c r="J43" s="16" t="s">
        <v>0</v>
      </c>
      <c r="K43" s="13" t="s">
        <v>1</v>
      </c>
      <c r="L43" s="13" t="s">
        <v>2</v>
      </c>
      <c r="M43" s="13" t="s">
        <v>3</v>
      </c>
      <c r="N43" s="13" t="s">
        <v>4</v>
      </c>
      <c r="O43" s="13" t="s">
        <v>5</v>
      </c>
      <c r="P43" s="13" t="s">
        <v>6</v>
      </c>
      <c r="Q43" s="17" t="s">
        <v>7</v>
      </c>
      <c r="R43" s="23" t="s">
        <v>3</v>
      </c>
      <c r="S43" s="14" t="s">
        <v>5</v>
      </c>
      <c r="T43" s="14" t="s">
        <v>6</v>
      </c>
      <c r="U43" s="24" t="s">
        <v>2</v>
      </c>
    </row>
    <row r="44" spans="1:21" x14ac:dyDescent="0.25">
      <c r="A44" s="3" t="s">
        <v>32</v>
      </c>
      <c r="B44" s="37">
        <f>(($B$1-1)*B19+($B$23-1)*B37)/($B$1+$B$23-2)</f>
        <v>3.5940901225972768</v>
      </c>
      <c r="C44" s="38">
        <f t="shared" ref="C44:U44" si="31">(($B$1-1)*C19+($B$23-1)*C37)/($B$1+$B$23-2)</f>
        <v>0.71434298777201621</v>
      </c>
      <c r="D44" s="38">
        <f t="shared" si="31"/>
        <v>0.34773173315466976</v>
      </c>
      <c r="E44" s="38">
        <f t="shared" si="31"/>
        <v>1.5801658977634767</v>
      </c>
      <c r="F44" s="38">
        <f t="shared" si="31"/>
        <v>0.54366590514524527</v>
      </c>
      <c r="G44" s="38">
        <f t="shared" si="31"/>
        <v>0.48421575456046273</v>
      </c>
      <c r="H44" s="38">
        <f t="shared" si="31"/>
        <v>1.1761029127593707</v>
      </c>
      <c r="I44" s="44">
        <f t="shared" si="31"/>
        <v>2.1189432664075278</v>
      </c>
      <c r="J44" s="38">
        <f t="shared" si="31"/>
        <v>0.12734983290465601</v>
      </c>
      <c r="K44" s="38">
        <f t="shared" si="31"/>
        <v>8.9108532824038217E-2</v>
      </c>
      <c r="L44" s="38">
        <f t="shared" si="31"/>
        <v>3.4893902699545537E-2</v>
      </c>
      <c r="M44" s="38">
        <f t="shared" si="31"/>
        <v>8.1783063644283616E-2</v>
      </c>
      <c r="N44" s="38">
        <f t="shared" si="31"/>
        <v>4.1776228210837922E-2</v>
      </c>
      <c r="O44" s="38">
        <f t="shared" si="31"/>
        <v>3.1760978635466626E-2</v>
      </c>
      <c r="P44" s="38">
        <f t="shared" si="31"/>
        <v>8.4039328041997555E-2</v>
      </c>
      <c r="Q44" s="38">
        <f>(($B$1-1)*Q19+($B$23-1)*Q37)/($B$1+$B$23-2)</f>
        <v>0.21094918623891598</v>
      </c>
      <c r="R44" s="37">
        <f t="shared" si="31"/>
        <v>0.48128005287421455</v>
      </c>
      <c r="S44" s="38">
        <f t="shared" si="31"/>
        <v>0.50600146649123645</v>
      </c>
      <c r="T44" s="38">
        <f t="shared" si="31"/>
        <v>0.28315693771162614</v>
      </c>
      <c r="U44" s="39">
        <f t="shared" si="31"/>
        <v>0.33107170067832092</v>
      </c>
    </row>
    <row r="45" spans="1:21" x14ac:dyDescent="0.25">
      <c r="A45" s="3" t="s">
        <v>14</v>
      </c>
      <c r="B45" s="18">
        <f>((B36-B18)/B44)*SQRT($B$23*$B$1/($B$23+$B$1))</f>
        <v>5.6551100078714027</v>
      </c>
      <c r="C45" s="70">
        <f t="shared" ref="C45:U45" si="32">((C36-C18)/C44)*SQRT($B$23*$B$1/($B$23+$B$1))</f>
        <v>0.89945435154701336</v>
      </c>
      <c r="D45" s="70">
        <f t="shared" si="32"/>
        <v>4.6652068734001571</v>
      </c>
      <c r="E45" s="70">
        <f t="shared" si="32"/>
        <v>6.7520984341850232</v>
      </c>
      <c r="F45" s="70">
        <f t="shared" si="32"/>
        <v>0.72048520161037244</v>
      </c>
      <c r="G45" s="70">
        <f t="shared" si="32"/>
        <v>3.4457626009034352</v>
      </c>
      <c r="H45" s="70">
        <f t="shared" si="32"/>
        <v>7.8900113762833692</v>
      </c>
      <c r="I45" s="6">
        <f t="shared" si="32"/>
        <v>4.5862428818317236</v>
      </c>
      <c r="J45" s="70">
        <f t="shared" si="32"/>
        <v>-1.5890067991333974</v>
      </c>
      <c r="K45" s="70">
        <f t="shared" si="32"/>
        <v>1.8310150461276054</v>
      </c>
      <c r="L45" s="70">
        <f t="shared" si="32"/>
        <v>-0.34625567681667857</v>
      </c>
      <c r="M45" s="70">
        <f t="shared" si="32"/>
        <v>2.4542895845440968</v>
      </c>
      <c r="N45" s="70">
        <f t="shared" si="32"/>
        <v>-0.80970964358147368</v>
      </c>
      <c r="O45" s="70">
        <f t="shared" si="32"/>
        <v>-3.0212567436690367</v>
      </c>
      <c r="P45" s="70">
        <f t="shared" si="32"/>
        <v>1.1456904187834722</v>
      </c>
      <c r="Q45" s="70">
        <f t="shared" si="32"/>
        <v>0.62378643419095559</v>
      </c>
      <c r="R45" s="18">
        <f t="shared" si="32"/>
        <v>-13.682285823202388</v>
      </c>
      <c r="S45" s="70">
        <f t="shared" si="32"/>
        <v>-12.571799736735082</v>
      </c>
      <c r="T45" s="70">
        <f t="shared" si="32"/>
        <v>-23.857006872399143</v>
      </c>
      <c r="U45" s="19">
        <f t="shared" si="32"/>
        <v>-20.493912433348388</v>
      </c>
    </row>
    <row r="46" spans="1:21" ht="15.75" thickBot="1" x14ac:dyDescent="0.3">
      <c r="A46" s="12" t="s">
        <v>15</v>
      </c>
      <c r="B46" s="25" t="str">
        <f>IF(ABS(B45)&gt;$B$25, "Reject H0", "H0 cannot be rejected")</f>
        <v>Reject H0</v>
      </c>
      <c r="C46" s="21" t="str">
        <f t="shared" ref="C46:U46" si="33">IF(ABS(C45)&gt;$B$25, "Reject H0", "H0 cannot be rejected")</f>
        <v>H0 cannot be rejected</v>
      </c>
      <c r="D46" s="21" t="str">
        <f t="shared" si="33"/>
        <v>Reject H0</v>
      </c>
      <c r="E46" s="21" t="str">
        <f t="shared" si="33"/>
        <v>Reject H0</v>
      </c>
      <c r="F46" s="21" t="str">
        <f t="shared" si="33"/>
        <v>H0 cannot be rejected</v>
      </c>
      <c r="G46" s="21" t="str">
        <f t="shared" si="33"/>
        <v>Reject H0</v>
      </c>
      <c r="H46" s="21" t="str">
        <f t="shared" si="33"/>
        <v>Reject H0</v>
      </c>
      <c r="I46" s="71" t="str">
        <f t="shared" si="33"/>
        <v>Reject H0</v>
      </c>
      <c r="J46" s="21" t="str">
        <f t="shared" si="33"/>
        <v>H0 cannot be rejected</v>
      </c>
      <c r="K46" s="21" t="str">
        <f t="shared" si="33"/>
        <v>H0 cannot be rejected</v>
      </c>
      <c r="L46" s="21" t="str">
        <f t="shared" si="33"/>
        <v>H0 cannot be rejected</v>
      </c>
      <c r="M46" s="21" t="str">
        <f t="shared" si="33"/>
        <v>H0 cannot be rejected</v>
      </c>
      <c r="N46" s="21" t="str">
        <f t="shared" si="33"/>
        <v>H0 cannot be rejected</v>
      </c>
      <c r="O46" s="21" t="str">
        <f t="shared" si="33"/>
        <v>Reject H0</v>
      </c>
      <c r="P46" s="21" t="str">
        <f t="shared" si="33"/>
        <v>H0 cannot be rejected</v>
      </c>
      <c r="Q46" s="21" t="str">
        <f t="shared" si="33"/>
        <v>H0 cannot be rejected</v>
      </c>
      <c r="R46" s="25" t="str">
        <f t="shared" si="33"/>
        <v>Reject H0</v>
      </c>
      <c r="S46" s="21" t="str">
        <f t="shared" si="33"/>
        <v>Reject H0</v>
      </c>
      <c r="T46" s="21" t="str">
        <f t="shared" si="33"/>
        <v>Reject H0</v>
      </c>
      <c r="U46" s="22" t="str">
        <f t="shared" si="33"/>
        <v>Reject H0</v>
      </c>
    </row>
  </sheetData>
  <mergeCells count="14">
    <mergeCell ref="A31:A35"/>
    <mergeCell ref="B6:I6"/>
    <mergeCell ref="J6:Q6"/>
    <mergeCell ref="B5:Q5"/>
    <mergeCell ref="B28:Q28"/>
    <mergeCell ref="B29:I29"/>
    <mergeCell ref="J29:Q29"/>
    <mergeCell ref="B42:I42"/>
    <mergeCell ref="J42:Q42"/>
    <mergeCell ref="R42:U42"/>
    <mergeCell ref="R29:U29"/>
    <mergeCell ref="R5:U5"/>
    <mergeCell ref="R6:U6"/>
    <mergeCell ref="R28:U28"/>
  </mergeCells>
  <conditionalFormatting sqref="B46:U46">
    <cfRule type="containsText" dxfId="0" priority="3" operator="containsText" text="&quot;Reject H0&quot;">
      <formula>NOT(ISERROR(SEARCH("""Reject H0""",B46)))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B27F942-F193-443A-9BDE-F2F422FDC87F}">
            <xm:f>NOT(ISERROR(SEARCH("Reject H0",B46)))</xm:f>
            <xm:f>"Reject H0"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" operator="containsText" id="{170C42E1-555B-4E7A-92A0-BC998D8B4CA0}">
            <xm:f>NOT(ISERROR(SEARCH("H0 cannot be rejected",B46)))</xm:f>
            <xm:f>"H0 cannot be rejected"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B46:U46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6231289FFF2F45AEFE8839153E4D6C" ma:contentTypeVersion="11" ma:contentTypeDescription="Skapa ett nytt dokument." ma:contentTypeScope="" ma:versionID="ad402baf9e0a59f3084832966cd0479b">
  <xsd:schema xmlns:xsd="http://www.w3.org/2001/XMLSchema" xmlns:xs="http://www.w3.org/2001/XMLSchema" xmlns:p="http://schemas.microsoft.com/office/2006/metadata/properties" xmlns:ns2="ab730bd2-e9c3-47fb-80d2-823073bc04c6" xmlns:ns3="a5acc646-c7b0-4b3f-9de7-43adaa114caa" targetNamespace="http://schemas.microsoft.com/office/2006/metadata/properties" ma:root="true" ma:fieldsID="8bd5df0e893be7a5a1d6f61d2075fee7" ns2:_="" ns3:_="">
    <xsd:import namespace="ab730bd2-e9c3-47fb-80d2-823073bc04c6"/>
    <xsd:import namespace="a5acc646-c7b0-4b3f-9de7-43adaa114c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730bd2-e9c3-47fb-80d2-823073bc04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efd87c23-3b26-4c21-8b68-2b72671138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cc646-c7b0-4b3f-9de7-43adaa114ca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e00d96-e57b-400a-8f54-aa24871914d9}" ma:internalName="TaxCatchAll" ma:showField="CatchAllData" ma:web="a5acc646-c7b0-4b3f-9de7-43adaa114c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730bd2-e9c3-47fb-80d2-823073bc04c6">
      <Terms xmlns="http://schemas.microsoft.com/office/infopath/2007/PartnerControls"/>
    </lcf76f155ced4ddcb4097134ff3c332f>
    <TaxCatchAll xmlns="a5acc646-c7b0-4b3f-9de7-43adaa114caa" xsi:nil="true"/>
  </documentManagement>
</p:properties>
</file>

<file path=customXml/itemProps1.xml><?xml version="1.0" encoding="utf-8"?>
<ds:datastoreItem xmlns:ds="http://schemas.openxmlformats.org/officeDocument/2006/customXml" ds:itemID="{0ACC374C-7B0A-4788-AE3B-F74CF27826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10FB47-9583-46E9-81AD-6E95C77FE74E}"/>
</file>

<file path=customXml/itemProps3.xml><?xml version="1.0" encoding="utf-8"?>
<ds:datastoreItem xmlns:ds="http://schemas.openxmlformats.org/officeDocument/2006/customXml" ds:itemID="{5A881839-9ACB-4C36-B99F-BC5F7BCB7E78}">
  <ds:schemaRefs>
    <ds:schemaRef ds:uri="http://schemas.microsoft.com/office/2006/metadata/properties"/>
    <ds:schemaRef ds:uri="http://schemas.microsoft.com/office/infopath/2007/PartnerControls"/>
    <ds:schemaRef ds:uri="535717dd-6f1a-4365-9fd7-775acdc69f80"/>
    <ds:schemaRef ds:uri="156d8bb4-3256-44cd-b22a-d9817536ce6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</vt:lpstr>
    </vt:vector>
  </TitlesOfParts>
  <Manager/>
  <Company>Linköpings universitet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Nikolaos Tsanakas</dc:creator>
  <cp:keywords/>
  <dc:description/>
  <cp:lastModifiedBy>Guillermo Pérez Castro</cp:lastModifiedBy>
  <cp:revision/>
  <dcterms:created xsi:type="dcterms:W3CDTF">2019-05-16T13:53:09Z</dcterms:created>
  <dcterms:modified xsi:type="dcterms:W3CDTF">2025-05-14T14:21:56Z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0x010100176231289FFF2F45AEFE8839153E4D6C</vt:lpwstr>
  </property>
  <property fmtid="{D5CDD505-2E9C-101B-9397-08002B2CF9AE}" pid="3" name="MediaServiceImageTags">
    <vt:lpwstr/>
  </property>
</Properties>
</file>